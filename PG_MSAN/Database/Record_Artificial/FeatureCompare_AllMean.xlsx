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G_MSAN\Database\Record_Artificial\"/>
    </mc:Choice>
  </mc:AlternateContent>
  <xr:revisionPtr revIDLastSave="0" documentId="13_ncr:1_{BBB19006-50F1-4E2D-A3D4-36F114AF093B}" xr6:coauthVersionLast="36" xr6:coauthVersionMax="36" xr10:uidLastSave="{00000000-0000-0000-0000-000000000000}"/>
  <bookViews>
    <workbookView xWindow="0" yWindow="0" windowWidth="30720" windowHeight="13212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13" i="1" l="1"/>
  <c r="E12" i="1"/>
  <c r="E10" i="1"/>
  <c r="E9" i="1"/>
  <c r="H13" i="1"/>
  <c r="H10" i="1"/>
</calcChain>
</file>

<file path=xl/sharedStrings.xml><?xml version="1.0" encoding="utf-8"?>
<sst xmlns="http://schemas.openxmlformats.org/spreadsheetml/2006/main" count="18" uniqueCount="16">
  <si>
    <t>数据类型</t>
  </si>
  <si>
    <t>真实烧蚀数据平均特征</t>
  </si>
  <si>
    <t>原始人工数据平均特征</t>
  </si>
  <si>
    <t>平均误差1</t>
  </si>
  <si>
    <t>校准后人工数据平均特征</t>
  </si>
  <si>
    <t>平均误差2</t>
  </si>
  <si>
    <t>误差改善率Improvement</t>
  </si>
  <si>
    <t>Rmax (mΩ)</t>
  </si>
  <si>
    <t>Rmean (mΩ)</t>
  </si>
  <si>
    <t>Smax (mΩ/s)</t>
  </si>
  <si>
    <t>AR (mΩ·s)</t>
  </si>
  <si>
    <t>tpeak (s)</t>
  </si>
  <si>
    <t>Dlow (s)</t>
  </si>
  <si>
    <t>Cas</t>
  </si>
  <si>
    <t>Response intensity</t>
  </si>
  <si>
    <t>Evolutionary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</si>
</sst>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14" sqref="H14"/>
    </sheetView>
  </sheetViews>
  <sheetFormatPr defaultRowHeight="14.4"/>
  <cols>
    <col min="1" max="1" width="23" customWidth="1"/>
    <col min="2" max="2" width="14.21875" customWidth="1"/>
    <col min="3" max="3" width="13.5546875" customWidth="1"/>
    <col min="4" max="4" width="13.21875" customWidth="1"/>
    <col min="5" max="5" width="13.5546875" customWidth="1"/>
    <col min="6" max="6" width="14.5546875" customWidth="1"/>
    <col min="7" max="7" width="16.21875" customWidth="1"/>
    <col min="8" max="8" width="12.5546875" customWidth="1"/>
  </cols>
  <sheetData>
    <row r="1" spans="1:8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>
      <c r="A2" t="s">
        <v>1</v>
      </c>
      <c r="B2">
        <v>1.0593690909090909</v>
      </c>
      <c r="C2">
        <v>0.64575749085088774</v>
      </c>
      <c r="D2">
        <v>0.61018036363636374</v>
      </c>
      <c r="E2">
        <v>24.178115568181816</v>
      </c>
      <c r="F2">
        <v>14.545454545454545</v>
      </c>
      <c r="G2">
        <v>23.545454545454547</v>
      </c>
    </row>
    <row r="3" spans="1:8">
      <c r="A3" t="s">
        <v>2</v>
      </c>
      <c r="B3">
        <v>0.90495727272727278</v>
      </c>
      <c r="C3">
        <v>0.65313071579057902</v>
      </c>
      <c r="D3">
        <v>0.50150690909090911</v>
      </c>
      <c r="E3">
        <v>24.35788102272727</v>
      </c>
      <c r="F3">
        <v>14.659090909090908</v>
      </c>
      <c r="G3">
        <v>23.113636363636363</v>
      </c>
      <c r="H3">
        <v>0.98092230007724579</v>
      </c>
    </row>
    <row r="4" spans="1:8">
      <c r="A4" t="s">
        <v>3</v>
      </c>
      <c r="B4">
        <v>-0.14541711451073247</v>
      </c>
      <c r="C4">
        <v>1.4039751008544739E-2</v>
      </c>
      <c r="D4">
        <v>-0.16646438744069134</v>
      </c>
      <c r="E4">
        <v>1.2323450334232102E-2</v>
      </c>
      <c r="F4">
        <v>7.7838584559800222E-3</v>
      </c>
      <c r="G4">
        <v>-1.7055386282111704E-2</v>
      </c>
    </row>
    <row r="5" spans="1:8">
      <c r="A5" t="s">
        <v>4</v>
      </c>
      <c r="B5">
        <v>0.95580432950921268</v>
      </c>
      <c r="C5">
        <v>0.65106115001850651</v>
      </c>
      <c r="D5">
        <v>0.50023126792321826</v>
      </c>
      <c r="E5">
        <v>24.578252575945317</v>
      </c>
      <c r="F5">
        <v>14.636363636363637</v>
      </c>
      <c r="G5">
        <v>23.522727272727273</v>
      </c>
      <c r="H5">
        <v>0.99333220063532857</v>
      </c>
    </row>
    <row r="6" spans="1:8">
      <c r="A6" t="s">
        <v>5</v>
      </c>
      <c r="B6">
        <v>-9.70172061411088E-2</v>
      </c>
      <c r="C6">
        <v>1.0318053086579052E-2</v>
      </c>
      <c r="D6">
        <v>-0.16807618305501812</v>
      </c>
      <c r="E6">
        <v>1.6500719225130238E-2</v>
      </c>
      <c r="F6">
        <v>6.269592476489028E-3</v>
      </c>
      <c r="G6">
        <v>-5.715255094494346E-4</v>
      </c>
    </row>
    <row r="7" spans="1:8">
      <c r="A7" t="s">
        <v>6</v>
      </c>
      <c r="B7">
        <v>0.33116778122209811</v>
      </c>
      <c r="C7">
        <v>3.7725548633366704E-2</v>
      </c>
      <c r="D7">
        <v>3.0209633823285809E-3</v>
      </c>
      <c r="E7">
        <v>4.4942991121012327E-2</v>
      </c>
      <c r="F7">
        <v>-1.0068259385665534</v>
      </c>
      <c r="G7">
        <v>0.31551841773834327</v>
      </c>
    </row>
    <row r="9" spans="1:8">
      <c r="A9" s="1" t="s">
        <v>14</v>
      </c>
      <c r="B9" s="2">
        <v>0.4</v>
      </c>
      <c r="C9" s="2">
        <v>0.25</v>
      </c>
      <c r="D9" s="2">
        <v>0.35</v>
      </c>
      <c r="E9">
        <f>-1*B4*B9+C4*C9+E4*D9</f>
        <v>6.5989991173410409E-2</v>
      </c>
    </row>
    <row r="10" spans="1:8">
      <c r="A10" s="1" t="s">
        <v>15</v>
      </c>
      <c r="B10" s="2">
        <v>0.2</v>
      </c>
      <c r="C10" s="2">
        <v>0.35</v>
      </c>
      <c r="D10" s="2">
        <v>0.45</v>
      </c>
      <c r="E10">
        <f>-1*D4*B10+F4*C10+(-1*G4)*D10</f>
        <v>4.3692151774681547E-2</v>
      </c>
      <c r="H10" s="1">
        <f>-H3+1</f>
        <v>1.907769992275421E-2</v>
      </c>
    </row>
    <row r="12" spans="1:8">
      <c r="A12" s="1" t="s">
        <v>14</v>
      </c>
      <c r="B12" s="2">
        <v>0.4</v>
      </c>
      <c r="C12" s="2">
        <v>0.25</v>
      </c>
      <c r="D12" s="2">
        <v>0.35</v>
      </c>
      <c r="E12">
        <f>(-1*B6)*B12+C6*C12+E6*D12</f>
        <v>4.7161647456883865E-2</v>
      </c>
    </row>
    <row r="13" spans="1:8">
      <c r="A13" s="1" t="s">
        <v>15</v>
      </c>
      <c r="B13" s="2">
        <v>0.2</v>
      </c>
      <c r="C13" s="2">
        <v>0.35</v>
      </c>
      <c r="D13" s="2">
        <v>0.45</v>
      </c>
      <c r="E13">
        <f>-1*B13*D6+C13*F6+(-1*D13)*G6</f>
        <v>3.6066780457027027E-2</v>
      </c>
      <c r="H13">
        <f>1-H5</f>
        <v>6.667799364671434E-3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2026-07-06T05:35:58Z</dcterms:modified>
</cp:coreProperties>
</file>